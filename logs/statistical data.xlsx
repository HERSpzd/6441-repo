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activeTab="1"/>
  </bookViews>
  <sheets>
    <sheet name="Manual" sheetId="1" r:id="rId1"/>
    <sheet name="Automatic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<sst xmlns="http://schemas.openxmlformats.org/spreadsheetml/2006/main" count="80" uniqueCount="41">
  <si>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Level/Type</t>
  </si>
  <si>
    <t>Total times</t>
  </si>
  <si>
    <t>Total</t>
  </si>
  <si>
    <t>model/type</t>
  </si>
  <si>
    <t>local</t>
  </si>
  <si>
    <t>19+9+4+0</t>
  </si>
  <si>
    <t>0+5+0+2</t>
  </si>
  <si>
    <t>1+5+2+1</t>
  </si>
  <si>
    <t>0+1+0+0</t>
  </si>
  <si>
    <t>web free</t>
  </si>
  <si>
    <t>20+1+0+0</t>
  </si>
  <si>
    <t>0+16+3+0</t>
  </si>
  <si>
    <t>0+3+3+3</t>
  </si>
  <si>
    <t>0+0+0+0</t>
  </si>
  <si>
    <t>web paid</t>
  </si>
  <si>
    <t>20+10+3+0</t>
  </si>
  <si>
    <t>0+4+0+2</t>
  </si>
  <si>
    <t>0+6+3+1</t>
  </si>
  <si>
    <t>uncensored</t>
  </si>
  <si>
    <t>20+20+6+3</t>
  </si>
  <si>
    <t>SR</t>
  </si>
  <si>
    <t>LR</t>
  </si>
  <si>
    <t>free</t>
  </si>
  <si>
    <t>paid</t>
  </si>
  <si>
    <t>total</t>
  </si>
  <si>
    <t>73+50+56+10</t>
  </si>
  <si>
    <t>5+4+21+7</t>
  </si>
  <si>
    <t>0+20+3+30</t>
  </si>
  <si>
    <t>8+17+5+13</t>
  </si>
  <si>
    <t>86+91+85+60</t>
  </si>
  <si>
    <t>24+12+22+4</t>
  </si>
  <si>
    <t>54+52+59+15</t>
  </si>
  <si>
    <t>12+26+7+37</t>
  </si>
  <si>
    <t>0+5+1+4</t>
  </si>
  <si>
    <t>90+95+89+60</t>
  </si>
  <si>
    <t>24+5+9+2</t>
  </si>
  <si>
    <t>44+67+68+24</t>
  </si>
  <si>
    <t>21+22+8+31</t>
  </si>
  <si>
    <t>0+0+1+3</t>
  </si>
  <si>
    <t>89+94+86+60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</si>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</sst>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3" workbookViewId="0">
      <selection activeCell="F38" sqref="F38"/>
    </sheetView>
  </sheetViews>
  <sheetFormatPr defaultColWidth="9" defaultRowHeight="14.4" outlineLevelCol="5"/>
  <cols>
    <col min="1" max="1" width="12" customWidth="1"/>
    <col min="2" max="2" width="12.8888888888889"/>
    <col min="5" max="5" width="9.55555555555556" customWidth="1"/>
    <col min="6" max="6" width="12.4444444444444" customWidth="1"/>
  </cols>
  <sheetData>
    <row r="1" spans="1:6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2" spans="1:6">
      <c r="A2">
        <v>1</v>
      </c>
      <c r="B2">
        <v>59</v>
      </c>
      <c r="C2">
        <v>0</v>
      </c>
      <c r="D2">
        <v>1</v>
      </c>
      <c r="E2">
        <v>20</v>
      </c>
      <c r="F2">
        <v>80</v>
      </c>
    </row>
    <row r="3" spans="1:6">
      <c r="A3">
        <v>2</v>
      </c>
      <c r="B3">
        <v>20</v>
      </c>
      <c r="C3">
        <v>25</v>
      </c>
      <c r="D3">
        <v>14</v>
      </c>
      <c r="E3">
        <v>21</v>
      </c>
      <c r="F3">
        <v>80</v>
      </c>
    </row>
    <row r="4" spans="1:6">
      <c r="A4">
        <v>3</v>
      </c>
      <c r="B4">
        <v>7</v>
      </c>
      <c r="C4">
        <v>3</v>
      </c>
      <c r="D4">
        <v>8</v>
      </c>
      <c r="E4">
        <v>6</v>
      </c>
      <c r="F4">
        <v>24</v>
      </c>
    </row>
    <row r="5" spans="1:6">
      <c r="A5">
        <v>4</v>
      </c>
      <c r="B5">
        <v>0</v>
      </c>
      <c r="C5">
        <v>4</v>
      </c>
      <c r="D5">
        <v>5</v>
      </c>
      <c r="E5">
        <v>3</v>
      </c>
      <c r="F5">
        <v>12</v>
      </c>
    </row>
    <row r="6" spans="1:6">
      <c r="A6" t="s">
        <v>2</v>
      </c>
      <c r="B6">
        <v>86</v>
      </c>
      <c r="C6">
        <v>32</v>
      </c>
      <c r="D6">
        <v>28</v>
      </c>
      <c r="E6">
        <v>50</v>
      </c>
      <c r="F6">
        <v>196</v>
      </c>
    </row>
    <row r="15" spans="1:6">
      <c r="A15" t="s">
        <v>3</v>
      </c>
      <c r="B15">
        <v>1</v>
      </c>
      <c r="C15">
        <v>2</v>
      </c>
      <c r="D15">
        <v>3</v>
      </c>
      <c r="E15">
        <v>4</v>
      </c>
    </row>
    <row r="16" spans="1:6">
      <c r="A16" t="s">
        <v>4</v>
      </c>
      <c r="B16" t="s">
        <v>5</v>
      </c>
      <c r="C16" t="s">
        <v>6</v>
      </c>
      <c r="D16" t="s">
        <v>7</v>
      </c>
      <c r="E16" t="s">
        <v>8</v>
      </c>
    </row>
    <row r="17" spans="1:6">
      <c r="A17" t="s">
        <v>9</v>
      </c>
      <c r="B17" t="s">
        <v>10</v>
      </c>
      <c r="C17" t="s">
        <v>11</v>
      </c>
      <c r="D17" t="s">
        <v>12</v>
      </c>
      <c r="E17" t="s">
        <v>13</v>
      </c>
    </row>
    <row r="18" spans="1:6">
      <c r="A18" t="s">
        <v>14</v>
      </c>
      <c r="B18" t="s">
        <v>15</v>
      </c>
      <c r="C18" t="s">
        <v>16</v>
      </c>
      <c r="D18" t="s">
        <v>17</v>
      </c>
      <c r="E18" t="s">
        <v>13</v>
      </c>
    </row>
    <row r="19" spans="1:6">
      <c r="A19" t="s">
        <v>18</v>
      </c>
      <c r="B19" t="s">
        <v>13</v>
      </c>
      <c r="C19" t="s">
        <v>13</v>
      </c>
      <c r="D19" t="s">
        <v>13</v>
      </c>
      <c r="E19" t="s">
        <v>19</v>
      </c>
    </row>
    <row r="21" spans="1:6">
      <c r="A21" t="s">
        <v>3</v>
      </c>
      <c r="B21">
        <v>1</v>
      </c>
      <c r="C21">
        <v>2</v>
      </c>
      <c r="D21">
        <v>3</v>
      </c>
      <c r="E21">
        <v>4</v>
      </c>
      <c r="F21" t="s">
        <v>2</v>
      </c>
    </row>
    <row r="22" spans="1:6">
      <c r="A22" t="s">
        <v>4</v>
      </c>
      <c r="B22">
        <f>19+9+4</f>
        <v>32</v>
      </c>
      <c r="C22">
        <f>0+5+0+2</f>
        <v>7</v>
      </c>
      <c r="D22">
        <f>1+5+2+1</f>
        <v>9</v>
      </c>
      <c r="E22">
        <f>0+1+0+0</f>
        <v>1</v>
      </c>
      <c r="F22">
        <f>B22+C22+D22+E22</f>
        <v>49</v>
      </c>
    </row>
    <row r="23" spans="1:6">
      <c r="A23" t="s">
        <v>9</v>
      </c>
      <c r="B23">
        <f>20+1+0+0</f>
        <v>21</v>
      </c>
      <c r="C23">
        <f>0+16+3+0</f>
        <v>19</v>
      </c>
      <c r="D23">
        <f>0+3+3+3</f>
        <v>9</v>
      </c>
      <c r="E23">
        <f>0+0+0+0</f>
        <v>0</v>
      </c>
      <c r="F23">
        <f>B23+C23+D23+E23</f>
        <v>49</v>
      </c>
    </row>
    <row r="24" spans="1:6">
      <c r="A24" t="s">
        <v>14</v>
      </c>
      <c r="B24">
        <f>20+10+3+0</f>
        <v>33</v>
      </c>
      <c r="C24">
        <f>0+4+0+2</f>
        <v>6</v>
      </c>
      <c r="D24">
        <f>0+6+3+1</f>
        <v>10</v>
      </c>
      <c r="E24">
        <f>0+0+0+0</f>
        <v>0</v>
      </c>
      <c r="F24">
        <f>B24+C24+D24+E24</f>
        <v>49</v>
      </c>
    </row>
    <row r="25" spans="1:6">
      <c r="A25" t="s">
        <v>18</v>
      </c>
      <c r="B25">
        <f>0+0+0+0</f>
        <v>0</v>
      </c>
      <c r="C25">
        <f>0+0+0+0</f>
        <v>0</v>
      </c>
      <c r="D25">
        <f>0+0+0+0</f>
        <v>0</v>
      </c>
      <c r="E25">
        <f>20+20+6+3</f>
        <v>49</v>
      </c>
      <c r="F25">
        <f>B25+C25+D25+E25</f>
        <v>49</v>
      </c>
    </row>
    <row r="27" spans="1:6">
      <c r="A27" t="s">
        <v>4</v>
      </c>
    </row>
    <row r="28" spans="1:6">
      <c r="A28" t="s">
        <v>20</v>
      </c>
      <c r="B28">
        <f>E22/F22</f>
        <v>0.0204081632653061</v>
      </c>
    </row>
    <row r="29" spans="1:6">
      <c r="A29" t="s">
        <v>21</v>
      </c>
      <c r="B29">
        <f>(D22+E22)/F22</f>
        <v>0.204081632653061</v>
      </c>
    </row>
    <row r="31" spans="1:6">
      <c r="A31" t="s">
        <v>22</v>
      </c>
    </row>
    <row r="32" spans="1:6">
      <c r="A32" t="s">
        <v>20</v>
      </c>
      <c r="B32">
        <f>E23/F23</f>
        <v>0</v>
      </c>
    </row>
    <row r="33" spans="1:2">
      <c r="A33" t="s">
        <v>21</v>
      </c>
      <c r="B33">
        <f>(D23+E23)/F23</f>
        <v>0.183673469387755</v>
      </c>
    </row>
    <row r="35" spans="1:2">
      <c r="A35" t="s">
        <v>23</v>
      </c>
    </row>
    <row r="36" spans="1:2">
      <c r="A36" t="s">
        <v>20</v>
      </c>
      <c r="B36">
        <f>E24/F24</f>
        <v>0</v>
      </c>
    </row>
    <row r="37" spans="1:2">
      <c r="A37" t="s">
        <v>21</v>
      </c>
      <c r="B37">
        <f>(D24+E24)/F24</f>
        <v>0.204081632653061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topLeftCell="A10" workbookViewId="0">
      <selection activeCell="E25" sqref="E25"/>
    </sheetView>
  </sheetViews>
  <sheetFormatPr defaultColWidth="9" defaultRowHeight="14.4" outlineLevelCol="5"/>
  <cols>
    <col min="1" max="1" width="11" customWidth="1"/>
    <col min="2" max="2" width="12.7777777777778" customWidth="1"/>
    <col min="3" max="3" width="13.4444444444444" customWidth="1"/>
    <col min="4" max="4" width="11.5555555555556" customWidth="1"/>
    <col min="5" max="5" width="11.8888888888889" customWidth="1"/>
    <col min="6" max="6" width="12.1111111111111" customWidth="1"/>
  </cols>
  <sheetData>
    <row r="1" spans="1:6">
      <c r="A1" t="s">
        <v>3</v>
      </c>
      <c r="B1">
        <v>1</v>
      </c>
      <c r="C1">
        <v>2</v>
      </c>
      <c r="D1">
        <v>3</v>
      </c>
      <c r="E1">
        <v>4</v>
      </c>
      <c r="F1" t="s">
        <v>24</v>
      </c>
    </row>
    <row r="2" spans="1:6">
      <c r="A2" t="s">
        <v>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>
      <c r="A3" t="s">
        <v>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</row>
    <row r="4" spans="1:6">
      <c r="A4" t="s">
        <v>14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1:6">
      <c r="A5" t="s">
        <v>18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</row>
    <row r="12" spans="1:6">
      <c r="A12" t="s">
        <v>3</v>
      </c>
      <c r="B12">
        <v>1</v>
      </c>
      <c r="C12">
        <v>2</v>
      </c>
      <c r="D12">
        <v>3</v>
      </c>
      <c r="E12">
        <v>4</v>
      </c>
      <c r="F12" t="s">
        <v>24</v>
      </c>
    </row>
    <row r="13" spans="1:6">
      <c r="A13" t="s">
        <v>4</v>
      </c>
      <c r="B13">
        <f>73+50+56+10</f>
        <v>189</v>
      </c>
      <c r="C13">
        <f>5+4+21+7</f>
        <v>37</v>
      </c>
      <c r="D13">
        <f>0+20+3+30</f>
        <v>53</v>
      </c>
      <c r="E13">
        <f>8+17+5+13</f>
        <v>43</v>
      </c>
      <c r="F13">
        <f>86+91+85+60</f>
        <v>322</v>
      </c>
    </row>
    <row r="14" spans="1:6">
      <c r="A14" t="s">
        <v>9</v>
      </c>
      <c r="B14">
        <f>24+12+22+4</f>
        <v>62</v>
      </c>
      <c r="C14">
        <f>54+52+59+15</f>
        <v>180</v>
      </c>
      <c r="D14">
        <f>12+26+7+37</f>
        <v>82</v>
      </c>
      <c r="E14">
        <f>0+5+1+4</f>
        <v>10</v>
      </c>
      <c r="F14">
        <f>90+95+89+60</f>
        <v>334</v>
      </c>
    </row>
    <row r="15" spans="1:6">
      <c r="A15" t="s">
        <v>14</v>
      </c>
      <c r="B15">
        <f>24+5+9+2</f>
        <v>40</v>
      </c>
      <c r="C15">
        <f>44+67+68+24</f>
        <v>203</v>
      </c>
      <c r="D15">
        <f>21+22+8+31</f>
        <v>82</v>
      </c>
      <c r="E15">
        <f>0+0+1+3</f>
        <v>4</v>
      </c>
      <c r="F15">
        <f>89+94+86+60</f>
        <v>329</v>
      </c>
    </row>
    <row r="16" spans="1:6">
      <c r="A16" t="s">
        <v>24</v>
      </c>
      <c r="B16">
        <f>B13+B14+B15</f>
        <v>291</v>
      </c>
      <c r="C16">
        <f>C13+C14+C15</f>
        <v>420</v>
      </c>
      <c r="D16">
        <f>D13+D14+D15</f>
        <v>217</v>
      </c>
      <c r="E16">
        <f>E13+E14+E15</f>
        <v>57</v>
      </c>
      <c r="F16">
        <f>F13+F14+F15</f>
        <v>985</v>
      </c>
    </row>
    <row r="18" spans="1:2">
      <c r="A18" t="s">
        <v>4</v>
      </c>
    </row>
    <row r="19" spans="1:2">
      <c r="A19" t="s">
        <v>20</v>
      </c>
      <c r="B19">
        <f>E13/F13</f>
        <v>0.133540372670807</v>
      </c>
    </row>
    <row r="20" spans="1:2">
      <c r="A20" t="s">
        <v>21</v>
      </c>
      <c r="B20">
        <f>(D13+E13)/F13</f>
        <v>0.298136645962733</v>
      </c>
    </row>
    <row r="22" spans="1:2">
      <c r="A22" t="s">
        <v>22</v>
      </c>
    </row>
    <row r="23" spans="1:2">
      <c r="A23" t="s">
        <v>20</v>
      </c>
      <c r="B23">
        <f>E14/F14</f>
        <v>0.029940119760479</v>
      </c>
    </row>
    <row r="24" spans="1:2">
      <c r="A24" t="s">
        <v>21</v>
      </c>
      <c r="B24">
        <f>(D14+E14)/F14</f>
        <v>0.275449101796407</v>
      </c>
    </row>
    <row r="26" spans="1:2">
      <c r="A26" t="s">
        <v>23</v>
      </c>
    </row>
    <row r="27" spans="1:2">
      <c r="A27" t="s">
        <v>20</v>
      </c>
      <c r="B27">
        <f>E15/F15</f>
        <v>0.0121580547112462</v>
      </c>
    </row>
    <row r="28" spans="1:2">
      <c r="A28" t="s">
        <v>21</v>
      </c>
      <c r="B28">
        <f>(D15+E15)/F15</f>
        <v>0.261398176291793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Manual</vt:lpstr>
      <vt:lpstr>Automatic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666666 dddddd</dc:creator>
  <cp:lastModifiedBy>HE_RS</cp:lastModifiedBy>
  <dcterms:created xsi:type="dcterms:W3CDTF">2023-05-12T11:15:00Z</dcterms:created>
  <dcterms:modified xsi:type="dcterms:W3CDTF">2026-07-19T09:41:19Z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25BBBF0D177447309B7AA7F53D618A59_12</vt:lpwstr>
  </property>
  <property fmtid="{D5CDD505-2E9C-101B-9397-08002B2CF9AE}" pid="4" name="CalculationRule">
    <vt:i4>0</vt:i4>
  </property>
</Properties>
</file>